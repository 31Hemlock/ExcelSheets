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oah\Documents\School\Summer 2017\BIT 3424 Rakes\Week 1\"/>
    </mc:Choice>
  </mc:AlternateContent>
  <bookViews>
    <workbookView xWindow="0" yWindow="0" windowWidth="18315" windowHeight="8820" activeTab="1"/>
  </bookViews>
  <sheets>
    <sheet name="Data Entry" sheetId="1" r:id="rId1"/>
    <sheet name="Benefits Comparison" sheetId="2" r:id="rId2"/>
  </sheets>
  <calcPr calcId="171027"/>
</workbook>
</file>

<file path=xl/calcChain.xml><?xml version="1.0" encoding="utf-8"?>
<calcChain xmlns="http://schemas.openxmlformats.org/spreadsheetml/2006/main">
  <c r="G15" i="2" l="1"/>
  <c r="C15" i="2"/>
  <c r="C17" i="2"/>
  <c r="G10" i="2" l="1"/>
  <c r="G9" i="2"/>
  <c r="G11" i="2" l="1"/>
  <c r="C10" i="2"/>
  <c r="C9" i="2"/>
  <c r="C8" i="2"/>
  <c r="C11" i="2" s="1"/>
  <c r="C22" i="1" l="1"/>
  <c r="D18" i="1"/>
  <c r="D19" i="1"/>
  <c r="D20" i="1"/>
  <c r="D17" i="1"/>
  <c r="D24" i="1" l="1"/>
  <c r="C18" i="2"/>
  <c r="G3" i="2"/>
  <c r="C19" i="2" l="1"/>
  <c r="G17" i="2" l="1"/>
</calcChain>
</file>

<file path=xl/sharedStrings.xml><?xml version="1.0" encoding="utf-8"?>
<sst xmlns="http://schemas.openxmlformats.org/spreadsheetml/2006/main" count="47" uniqueCount="40">
  <si>
    <t>DATA ENTRY</t>
  </si>
  <si>
    <t>Personal Information</t>
  </si>
  <si>
    <t>Employee Name</t>
  </si>
  <si>
    <t>SSN</t>
  </si>
  <si>
    <t>Status</t>
  </si>
  <si>
    <t>Gender</t>
  </si>
  <si>
    <t>Spouse Gender</t>
  </si>
  <si>
    <t>Dates</t>
  </si>
  <si>
    <t>Birth</t>
  </si>
  <si>
    <t>Hire</t>
  </si>
  <si>
    <t>Retire</t>
  </si>
  <si>
    <t>Spouse Name</t>
  </si>
  <si>
    <t>Spouse Birth</t>
  </si>
  <si>
    <t>Earnings History</t>
  </si>
  <si>
    <t>Avg(5-year)salary</t>
  </si>
  <si>
    <t>Base Salary for Retirement Calculations</t>
  </si>
  <si>
    <t>Retire Early</t>
  </si>
  <si>
    <t>Age @ Retirement</t>
  </si>
  <si>
    <t>…Employee</t>
  </si>
  <si>
    <t>…Spouse</t>
  </si>
  <si>
    <t>Yrs of service</t>
  </si>
  <si>
    <t>Months early</t>
  </si>
  <si>
    <t>Monthly Benefit</t>
  </si>
  <si>
    <t>Estimated PV</t>
  </si>
  <si>
    <t>Retire at 65</t>
  </si>
  <si>
    <t>Employee's highest, five-consecutive years' earnings:</t>
  </si>
  <si>
    <t>Jane Doe</t>
  </si>
  <si>
    <t>Salaried</t>
  </si>
  <si>
    <t>F</t>
  </si>
  <si>
    <t>Joe Doe</t>
  </si>
  <si>
    <t>M</t>
  </si>
  <si>
    <t>Avg 5-year salary:</t>
  </si>
  <si>
    <t>growth rate:</t>
  </si>
  <si>
    <t>BENEFITS COMPARISON</t>
  </si>
  <si>
    <t>111-22-3344</t>
  </si>
  <si>
    <t>*Note:  Both Estimated PVs are as of the early retirement date.</t>
  </si>
  <si>
    <t>Bonus</t>
  </si>
  <si>
    <t>Total</t>
  </si>
  <si>
    <t>Current or Predicted Interest Rate</t>
  </si>
  <si>
    <t>(max of 30)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</si>
</sst>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mmmm\ d\,\ yyyy"/>
    <numFmt numFmtId="166" formatCode="000\-00\-0000"/>
  </numFmts>
  <fonts count="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u/>
      <sz val="10"/>
      <name val="Arial"/>
      <family val="2"/>
    </font>
    <font>
      <sz val="10"/>
      <name val="Arial"/>
      <family val="2"/>
    </font>
    <font>
      <b/>
      <i/>
      <u/>
      <sz val="10"/>
      <name val="Arial"/>
      <family val="2"/>
    </font>
    <font>
      <b/>
      <u val="double"/>
      <sz val="10"/>
      <name val="Arial"/>
      <family val="2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0">
    <xf numFmtId="0" fontId="0" fillId="0" borderId="0" xfId="0"/>
    <xf numFmtId="0" fontId="6" fillId="0" borderId="0" xfId="0" applyFont="1"/>
    <xf numFmtId="0" fontId="6" fillId="0" borderId="0" xfId="0" applyFont="1" applyFill="1" applyBorder="1"/>
    <xf numFmtId="0" fontId="6" fillId="0" borderId="0" xfId="0" applyFont="1" applyFill="1" applyBorder="1" applyAlignment="1">
      <alignment horizontal="left"/>
    </xf>
    <xf numFmtId="0" fontId="6" fillId="0" borderId="1" xfId="0" applyFont="1" applyFill="1" applyBorder="1"/>
    <xf numFmtId="14" fontId="6" fillId="0" borderId="0" xfId="0" applyNumberFormat="1" applyFont="1" applyFill="1" applyBorder="1"/>
    <xf numFmtId="0" fontId="6" fillId="0" borderId="2" xfId="0" applyFont="1" applyFill="1" applyBorder="1"/>
    <xf numFmtId="0" fontId="2" fillId="0" borderId="1" xfId="0" applyFont="1" applyFill="1" applyBorder="1"/>
    <xf numFmtId="165" fontId="6" fillId="0" borderId="0" xfId="0" applyNumberFormat="1" applyFont="1" applyFill="1" applyBorder="1"/>
    <xf numFmtId="0" fontId="4" fillId="0" borderId="2" xfId="0" applyFont="1" applyFill="1" applyBorder="1" applyAlignment="1">
      <alignment horizontal="right"/>
    </xf>
    <xf numFmtId="166" fontId="6" fillId="0" borderId="0" xfId="0" applyNumberFormat="1" applyFont="1" applyFill="1" applyBorder="1"/>
    <xf numFmtId="0" fontId="2" fillId="0" borderId="2" xfId="0" applyFont="1" applyFill="1" applyBorder="1" applyAlignment="1">
      <alignment horizontal="right"/>
    </xf>
    <xf numFmtId="14" fontId="6" fillId="0" borderId="3" xfId="0" applyNumberFormat="1" applyFont="1" applyFill="1" applyBorder="1"/>
    <xf numFmtId="0" fontId="4" fillId="0" borderId="0" xfId="0" applyFont="1" applyFill="1" applyBorder="1"/>
    <xf numFmtId="0" fontId="4" fillId="0" borderId="1" xfId="0" applyFont="1" applyFill="1" applyBorder="1"/>
    <xf numFmtId="0" fontId="2" fillId="0" borderId="0" xfId="0" applyFont="1" applyFill="1" applyBorder="1"/>
    <xf numFmtId="164" fontId="6" fillId="0" borderId="0" xfId="1" applyNumberFormat="1" applyFont="1" applyFill="1" applyBorder="1"/>
    <xf numFmtId="10" fontId="6" fillId="0" borderId="0" xfId="2" applyNumberFormat="1" applyFont="1" applyFill="1" applyBorder="1"/>
    <xf numFmtId="0" fontId="6" fillId="0" borderId="5" xfId="0" applyFont="1" applyFill="1" applyBorder="1"/>
    <xf numFmtId="0" fontId="6" fillId="0" borderId="6" xfId="0" applyFont="1" applyFill="1" applyBorder="1"/>
    <xf numFmtId="10" fontId="6" fillId="0" borderId="6" xfId="0" applyNumberFormat="1" applyFont="1" applyFill="1" applyBorder="1"/>
    <xf numFmtId="0" fontId="6" fillId="0" borderId="7" xfId="0" applyFont="1" applyFill="1" applyBorder="1"/>
    <xf numFmtId="0" fontId="6" fillId="0" borderId="0" xfId="0" applyFont="1" applyFill="1" applyBorder="1" applyAlignment="1">
      <alignment horizontal="right"/>
    </xf>
    <xf numFmtId="0" fontId="5" fillId="0" borderId="0" xfId="0" applyFont="1" applyFill="1" applyBorder="1" applyAlignment="1">
      <alignment horizontal="right"/>
    </xf>
    <xf numFmtId="2" fontId="6" fillId="0" borderId="0" xfId="0" applyNumberFormat="1" applyFont="1" applyFill="1" applyBorder="1" applyAlignment="1">
      <alignment horizontal="right"/>
    </xf>
    <xf numFmtId="0" fontId="5" fillId="0" borderId="0" xfId="0" applyFont="1" applyFill="1" applyBorder="1"/>
    <xf numFmtId="6" fontId="6" fillId="0" borderId="0" xfId="0" applyNumberFormat="1" applyFont="1" applyFill="1" applyBorder="1"/>
    <xf numFmtId="0" fontId="8" fillId="0" borderId="0" xfId="0" applyFont="1" applyFill="1" applyBorder="1" applyAlignment="1">
      <alignment horizontal="right"/>
    </xf>
    <xf numFmtId="0" fontId="4" fillId="0" borderId="0" xfId="0" applyFont="1" applyFill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0" fontId="6" fillId="0" borderId="8" xfId="0" applyFont="1" applyFill="1" applyBorder="1"/>
    <xf numFmtId="0" fontId="6" fillId="0" borderId="9" xfId="0" applyFont="1" applyFill="1" applyBorder="1"/>
    <xf numFmtId="0" fontId="6" fillId="0" borderId="10" xfId="0" applyFont="1" applyFill="1" applyBorder="1"/>
    <xf numFmtId="0" fontId="8" fillId="0" borderId="9" xfId="0" applyFont="1" applyFill="1" applyBorder="1"/>
    <xf numFmtId="0" fontId="4" fillId="0" borderId="9" xfId="0" applyFont="1" applyFill="1" applyBorder="1"/>
    <xf numFmtId="0" fontId="2" fillId="0" borderId="9" xfId="0" applyFont="1" applyFill="1" applyBorder="1"/>
    <xf numFmtId="0" fontId="6" fillId="0" borderId="11" xfId="0" applyFont="1" applyFill="1" applyBorder="1"/>
    <xf numFmtId="0" fontId="6" fillId="0" borderId="4" xfId="0" applyFont="1" applyFill="1" applyBorder="1"/>
    <xf numFmtId="0" fontId="6" fillId="0" borderId="12" xfId="0" applyFont="1" applyFill="1" applyBorder="1"/>
    <xf numFmtId="0" fontId="1" fillId="0" borderId="9" xfId="0" applyFont="1" applyFill="1" applyBorder="1"/>
    <xf numFmtId="0" fontId="1" fillId="0" borderId="0" xfId="0" applyFont="1" applyFill="1" applyBorder="1"/>
    <xf numFmtId="9" fontId="6" fillId="0" borderId="3" xfId="0" applyNumberFormat="1" applyFont="1" applyFill="1" applyBorder="1"/>
    <xf numFmtId="10" fontId="2" fillId="0" borderId="0" xfId="2" applyNumberFormat="1" applyFont="1" applyFill="1" applyBorder="1"/>
    <xf numFmtId="10" fontId="6" fillId="0" borderId="19" xfId="0" applyNumberFormat="1" applyFont="1" applyFill="1" applyBorder="1"/>
    <xf numFmtId="164" fontId="6" fillId="0" borderId="18" xfId="1" applyNumberFormat="1" applyFont="1" applyFill="1" applyBorder="1"/>
    <xf numFmtId="10" fontId="6" fillId="0" borderId="18" xfId="2" applyNumberFormat="1" applyFont="1" applyFill="1" applyBorder="1"/>
    <xf numFmtId="2" fontId="0" fillId="0" borderId="19" xfId="0" applyNumberFormat="1" applyFill="1" applyBorder="1"/>
    <xf numFmtId="2" fontId="6" fillId="0" borderId="20" xfId="0" applyNumberFormat="1" applyFont="1" applyFill="1" applyBorder="1"/>
    <xf numFmtId="2" fontId="6" fillId="0" borderId="21" xfId="0" applyNumberFormat="1" applyFont="1" applyFill="1" applyBorder="1"/>
    <xf numFmtId="2" fontId="6" fillId="0" borderId="19" xfId="0" applyNumberFormat="1" applyFont="1" applyFill="1" applyBorder="1" applyAlignment="1">
      <alignment horizontal="right"/>
    </xf>
    <xf numFmtId="2" fontId="6" fillId="0" borderId="20" xfId="0" applyNumberFormat="1" applyFont="1" applyFill="1" applyBorder="1" applyAlignment="1">
      <alignment horizontal="right"/>
    </xf>
    <xf numFmtId="2" fontId="6" fillId="0" borderId="21" xfId="0" applyNumberFormat="1" applyFont="1" applyFill="1" applyBorder="1" applyAlignment="1">
      <alignment horizontal="right"/>
    </xf>
    <xf numFmtId="0" fontId="1" fillId="0" borderId="10" xfId="0" applyFont="1" applyFill="1" applyBorder="1"/>
    <xf numFmtId="164" fontId="6" fillId="0" borderId="19" xfId="1" applyNumberFormat="1" applyFont="1" applyFill="1" applyBorder="1"/>
    <xf numFmtId="164" fontId="6" fillId="0" borderId="20" xfId="1" applyNumberFormat="1" applyFont="1" applyFill="1" applyBorder="1"/>
    <xf numFmtId="164" fontId="6" fillId="0" borderId="21" xfId="0" applyNumberFormat="1" applyFont="1" applyFill="1" applyBorder="1"/>
    <xf numFmtId="164" fontId="6" fillId="0" borderId="18" xfId="1" applyNumberFormat="1" applyFont="1" applyFill="1" applyBorder="1" applyAlignment="1">
      <alignment horizontal="right"/>
    </xf>
    <xf numFmtId="2" fontId="6" fillId="0" borderId="0" xfId="0" applyNumberFormat="1" applyFont="1" applyFill="1" applyBorder="1"/>
    <xf numFmtId="44" fontId="6" fillId="0" borderId="0" xfId="0" applyNumberFormat="1" applyFont="1" applyFill="1" applyBorder="1"/>
    <xf numFmtId="0" fontId="1" fillId="0" borderId="0" xfId="0" quotePrefix="1" applyFont="1" applyFill="1" applyBorder="1"/>
    <xf numFmtId="0" fontId="1" fillId="0" borderId="0" xfId="0" applyFont="1"/>
    <xf numFmtId="14" fontId="6" fillId="0" borderId="0" xfId="0" applyNumberFormat="1" applyFont="1"/>
    <xf numFmtId="0" fontId="6" fillId="0" borderId="0" xfId="0" applyNumberFormat="1" applyFont="1" applyFill="1" applyBorder="1"/>
    <xf numFmtId="0" fontId="6" fillId="0" borderId="0" xfId="0" applyNumberFormat="1" applyFont="1"/>
    <xf numFmtId="8" fontId="6" fillId="0" borderId="0" xfId="0" applyNumberFormat="1" applyFont="1" applyFill="1" applyBorder="1"/>
    <xf numFmtId="6" fontId="1" fillId="0" borderId="0" xfId="0" applyNumberFormat="1" applyFont="1" applyAlignment="1">
      <alignment vertical="center"/>
    </xf>
    <xf numFmtId="9" fontId="6" fillId="0" borderId="0" xfId="0" applyNumberFormat="1" applyFont="1" applyFill="1" applyBorder="1"/>
    <xf numFmtId="0" fontId="1" fillId="0" borderId="0" xfId="0" applyNumberFormat="1" applyFont="1" applyFill="1" applyBorder="1"/>
    <xf numFmtId="0" fontId="3" fillId="0" borderId="13" xfId="0" applyFont="1" applyFill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3" fillId="0" borderId="15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3" fillId="0" borderId="16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10" fontId="6" fillId="0" borderId="22" xfId="0" applyNumberFormat="1" applyFont="1" applyFill="1" applyBorder="1"/>
    <xf numFmtId="164" fontId="6" fillId="0" borderId="23" xfId="1" applyNumberFormat="1" applyFon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3"/>
  <sheetViews>
    <sheetView workbookViewId="0">
      <selection activeCell="G32" sqref="G32"/>
    </sheetView>
  </sheetViews>
  <sheetFormatPr defaultColWidth="9.140625" defaultRowHeight="12.75" x14ac:dyDescent="0.2"/>
  <cols>
    <col min="1" max="2" width="9.140625" style="1"/>
    <col min="3" max="3" width="11.140625" style="1" customWidth="1"/>
    <col min="4" max="4" width="11.28515625" style="1" bestFit="1" customWidth="1"/>
    <col min="5" max="5" width="4.85546875" style="1" customWidth="1"/>
    <col min="6" max="6" width="6.42578125" style="1" customWidth="1"/>
    <col min="7" max="7" width="10.7109375" style="1" customWidth="1"/>
    <col min="8" max="8" width="4.28515625" style="1" customWidth="1"/>
    <col min="9" max="11" width="9.140625" style="1"/>
    <col min="12" max="12" width="17.140625" style="1" customWidth="1"/>
    <col min="13" max="16384" width="9.140625" style="1"/>
  </cols>
  <sheetData>
    <row r="1" spans="1:18" ht="15.75" customHeight="1" x14ac:dyDescent="0.25">
      <c r="A1" s="68" t="s">
        <v>0</v>
      </c>
      <c r="B1" s="69"/>
      <c r="C1" s="69"/>
      <c r="D1" s="69"/>
      <c r="E1" s="69"/>
      <c r="F1" s="69"/>
      <c r="G1" s="69"/>
      <c r="H1" s="69"/>
      <c r="I1" s="70"/>
    </row>
    <row r="2" spans="1:18" ht="15.75" customHeight="1" x14ac:dyDescent="0.2">
      <c r="A2" s="71" t="s">
        <v>1</v>
      </c>
      <c r="B2" s="72"/>
      <c r="C2" s="72"/>
      <c r="D2" s="72"/>
      <c r="E2" s="72"/>
      <c r="F2" s="72"/>
      <c r="G2" s="72"/>
      <c r="H2" s="72"/>
      <c r="I2" s="73"/>
    </row>
    <row r="3" spans="1:18" x14ac:dyDescent="0.2">
      <c r="A3" s="4"/>
      <c r="B3" s="2"/>
      <c r="C3" s="2"/>
      <c r="D3" s="2"/>
      <c r="E3" s="2"/>
      <c r="F3" s="2"/>
      <c r="G3" s="5"/>
      <c r="H3" s="2"/>
      <c r="I3" s="6"/>
    </row>
    <row r="4" spans="1:18" x14ac:dyDescent="0.2">
      <c r="A4" s="7" t="s">
        <v>2</v>
      </c>
      <c r="B4" s="2"/>
      <c r="C4" s="40" t="s">
        <v>26</v>
      </c>
      <c r="D4" s="2"/>
      <c r="E4" s="2"/>
      <c r="F4" s="2"/>
      <c r="G4" s="8"/>
      <c r="H4" s="2"/>
      <c r="I4" s="9" t="s">
        <v>7</v>
      </c>
    </row>
    <row r="5" spans="1:18" x14ac:dyDescent="0.2">
      <c r="A5" s="7" t="s">
        <v>3</v>
      </c>
      <c r="B5" s="2"/>
      <c r="C5" s="10" t="s">
        <v>34</v>
      </c>
      <c r="D5" s="2"/>
      <c r="E5" s="2"/>
      <c r="F5" s="2"/>
      <c r="G5" s="5">
        <v>21097</v>
      </c>
      <c r="H5" s="2"/>
      <c r="I5" s="11" t="s">
        <v>8</v>
      </c>
      <c r="Q5" s="61"/>
      <c r="R5" s="61"/>
    </row>
    <row r="6" spans="1:18" x14ac:dyDescent="0.2">
      <c r="A6" s="7" t="s">
        <v>4</v>
      </c>
      <c r="B6" s="2"/>
      <c r="C6" s="40" t="s">
        <v>27</v>
      </c>
      <c r="D6" s="2"/>
      <c r="E6" s="2"/>
      <c r="F6" s="2"/>
      <c r="G6" s="5">
        <v>32844</v>
      </c>
      <c r="H6" s="2"/>
      <c r="I6" s="11" t="s">
        <v>9</v>
      </c>
    </row>
    <row r="7" spans="1:18" x14ac:dyDescent="0.2">
      <c r="A7" s="7" t="s">
        <v>5</v>
      </c>
      <c r="B7" s="2"/>
      <c r="C7" s="40" t="s">
        <v>28</v>
      </c>
      <c r="D7" s="2"/>
      <c r="E7" s="2"/>
      <c r="F7" s="2"/>
      <c r="G7" s="12">
        <v>42917</v>
      </c>
      <c r="H7" s="2"/>
      <c r="I7" s="11" t="s">
        <v>10</v>
      </c>
    </row>
    <row r="8" spans="1:18" x14ac:dyDescent="0.2">
      <c r="A8" s="7" t="s">
        <v>11</v>
      </c>
      <c r="B8" s="2"/>
      <c r="C8" s="40" t="s">
        <v>29</v>
      </c>
      <c r="D8" s="2"/>
      <c r="E8" s="2"/>
      <c r="F8" s="2"/>
      <c r="G8" s="8"/>
      <c r="H8" s="2"/>
      <c r="I8" s="11"/>
    </row>
    <row r="9" spans="1:18" x14ac:dyDescent="0.2">
      <c r="A9" s="7" t="s">
        <v>6</v>
      </c>
      <c r="B9" s="2"/>
      <c r="C9" s="2" t="s">
        <v>30</v>
      </c>
      <c r="D9" s="2"/>
      <c r="E9" s="2"/>
      <c r="F9" s="2"/>
      <c r="G9" s="5">
        <v>24591</v>
      </c>
      <c r="H9" s="2"/>
      <c r="I9" s="11" t="s">
        <v>12</v>
      </c>
    </row>
    <row r="10" spans="1:18" x14ac:dyDescent="0.2">
      <c r="A10" s="4"/>
      <c r="B10" s="2"/>
      <c r="C10" s="2"/>
      <c r="D10" s="2"/>
      <c r="E10" s="2"/>
      <c r="F10" s="2"/>
      <c r="G10" s="2"/>
      <c r="H10" s="2"/>
      <c r="I10" s="6"/>
    </row>
    <row r="11" spans="1:18" x14ac:dyDescent="0.2">
      <c r="A11" s="4"/>
      <c r="B11" s="2"/>
      <c r="C11" s="2"/>
      <c r="D11" s="2"/>
      <c r="E11" s="2"/>
      <c r="F11" s="2"/>
      <c r="G11" s="2"/>
      <c r="H11" s="2"/>
      <c r="I11" s="6"/>
      <c r="N11" s="60"/>
    </row>
    <row r="12" spans="1:18" ht="15.75" customHeight="1" x14ac:dyDescent="0.2">
      <c r="A12" s="71" t="s">
        <v>13</v>
      </c>
      <c r="B12" s="72"/>
      <c r="C12" s="72"/>
      <c r="D12" s="72"/>
      <c r="E12" s="72"/>
      <c r="F12" s="72"/>
      <c r="G12" s="72"/>
      <c r="H12" s="72"/>
      <c r="I12" s="73"/>
      <c r="N12" s="60"/>
    </row>
    <row r="13" spans="1:18" x14ac:dyDescent="0.2">
      <c r="A13" s="4"/>
      <c r="B13" s="2"/>
      <c r="C13" s="2"/>
      <c r="D13" s="13"/>
      <c r="E13" s="2"/>
      <c r="F13" s="2"/>
      <c r="G13" s="2"/>
      <c r="H13" s="2"/>
      <c r="I13" s="6"/>
    </row>
    <row r="14" spans="1:18" x14ac:dyDescent="0.2">
      <c r="A14" s="14" t="s">
        <v>25</v>
      </c>
      <c r="B14" s="2"/>
      <c r="C14" s="2"/>
      <c r="D14" s="2"/>
      <c r="E14" s="2"/>
      <c r="F14" s="2"/>
      <c r="G14" s="2"/>
      <c r="H14" s="2"/>
      <c r="I14" s="6"/>
      <c r="Q14" s="60"/>
    </row>
    <row r="15" spans="1:18" x14ac:dyDescent="0.2">
      <c r="A15" s="4"/>
      <c r="B15" s="2"/>
      <c r="C15" s="2"/>
      <c r="D15" s="2"/>
      <c r="E15" s="2"/>
      <c r="F15" s="2"/>
      <c r="G15" s="2"/>
      <c r="H15" s="2"/>
      <c r="I15" s="6"/>
      <c r="Q15" s="60"/>
    </row>
    <row r="16" spans="1:18" ht="13.5" thickBot="1" x14ac:dyDescent="0.25">
      <c r="A16" s="4"/>
      <c r="B16" s="15">
        <v>2012</v>
      </c>
      <c r="C16" s="16">
        <v>35000</v>
      </c>
      <c r="D16" s="2"/>
      <c r="E16" s="2"/>
      <c r="F16" s="2"/>
      <c r="G16" s="2"/>
      <c r="H16" s="2"/>
      <c r="I16" s="6"/>
      <c r="Q16" s="60"/>
    </row>
    <row r="17" spans="1:17" ht="13.5" thickBot="1" x14ac:dyDescent="0.25">
      <c r="A17" s="4"/>
      <c r="B17" s="15">
        <v>2013</v>
      </c>
      <c r="C17" s="16">
        <v>38000</v>
      </c>
      <c r="D17" s="43">
        <f>ABS(1-(C17/C16))</f>
        <v>8.5714285714285632E-2</v>
      </c>
      <c r="E17" s="2"/>
      <c r="F17" s="2"/>
      <c r="G17" s="2"/>
      <c r="H17" s="5"/>
      <c r="I17" s="6"/>
      <c r="Q17" s="60"/>
    </row>
    <row r="18" spans="1:17" ht="13.5" thickBot="1" x14ac:dyDescent="0.25">
      <c r="A18" s="4"/>
      <c r="B18" s="15">
        <v>2014</v>
      </c>
      <c r="C18" s="16">
        <v>41500</v>
      </c>
      <c r="D18" s="43">
        <f t="shared" ref="D18:D20" si="0">ABS(1-(C18/C17))</f>
        <v>9.210526315789469E-2</v>
      </c>
      <c r="E18" s="2"/>
      <c r="F18" s="2"/>
      <c r="G18" s="2"/>
      <c r="H18" s="2"/>
      <c r="I18" s="6"/>
    </row>
    <row r="19" spans="1:17" ht="13.5" thickBot="1" x14ac:dyDescent="0.25">
      <c r="A19" s="4"/>
      <c r="B19" s="15">
        <v>2015</v>
      </c>
      <c r="C19" s="16">
        <v>44000</v>
      </c>
      <c r="D19" s="43">
        <f t="shared" si="0"/>
        <v>6.024096385542177E-2</v>
      </c>
      <c r="E19" s="2"/>
      <c r="F19" s="2"/>
      <c r="G19" s="2"/>
      <c r="H19" s="2"/>
      <c r="I19" s="6"/>
      <c r="Q19" s="60"/>
    </row>
    <row r="20" spans="1:17" x14ac:dyDescent="0.2">
      <c r="A20" s="4"/>
      <c r="B20" s="15">
        <v>2016</v>
      </c>
      <c r="C20" s="79">
        <v>45500</v>
      </c>
      <c r="D20" s="78">
        <f t="shared" si="0"/>
        <v>3.4090909090909172E-2</v>
      </c>
      <c r="E20" s="2"/>
      <c r="F20" s="2"/>
      <c r="G20" s="2"/>
      <c r="H20" s="2"/>
      <c r="I20" s="6"/>
    </row>
    <row r="21" spans="1:17" ht="13.5" thickBot="1" x14ac:dyDescent="0.25">
      <c r="A21" s="4"/>
      <c r="B21" s="2"/>
      <c r="C21" s="2"/>
      <c r="D21" s="16"/>
      <c r="E21" s="2"/>
      <c r="F21" s="2"/>
      <c r="G21" s="2"/>
      <c r="H21" s="2"/>
      <c r="I21" s="6"/>
    </row>
    <row r="22" spans="1:17" ht="13.5" thickBot="1" x14ac:dyDescent="0.25">
      <c r="A22" s="7" t="s">
        <v>31</v>
      </c>
      <c r="B22" s="2"/>
      <c r="C22" s="44">
        <f>SUM(C16:C20)/5</f>
        <v>40800</v>
      </c>
      <c r="D22" s="2"/>
      <c r="E22" s="2"/>
      <c r="F22" s="2"/>
      <c r="G22" s="2"/>
      <c r="H22" s="2"/>
      <c r="I22" s="6"/>
    </row>
    <row r="23" spans="1:17" ht="13.5" thickBot="1" x14ac:dyDescent="0.25">
      <c r="A23" s="7" t="s">
        <v>14</v>
      </c>
      <c r="B23" s="2"/>
      <c r="C23" s="2"/>
      <c r="D23" s="16"/>
      <c r="E23" s="2"/>
      <c r="F23" s="2"/>
      <c r="G23" s="2"/>
      <c r="H23" s="2"/>
      <c r="I23" s="6"/>
    </row>
    <row r="24" spans="1:17" ht="13.5" thickBot="1" x14ac:dyDescent="0.25">
      <c r="A24" s="7" t="s">
        <v>32</v>
      </c>
      <c r="B24" s="2"/>
      <c r="C24" s="2"/>
      <c r="D24" s="45">
        <f>SUM(D17:D20)/4</f>
        <v>6.8037855454627816E-2</v>
      </c>
      <c r="E24" s="2"/>
      <c r="F24" s="2"/>
      <c r="G24" s="2"/>
      <c r="H24" s="2"/>
      <c r="I24" s="6"/>
    </row>
    <row r="25" spans="1:17" x14ac:dyDescent="0.2">
      <c r="A25" s="7"/>
      <c r="B25" s="2"/>
      <c r="C25" s="2"/>
      <c r="D25" s="17"/>
      <c r="E25" s="2"/>
      <c r="F25" s="2"/>
      <c r="G25" s="2"/>
      <c r="H25" s="2"/>
      <c r="I25" s="6"/>
    </row>
    <row r="26" spans="1:17" x14ac:dyDescent="0.2">
      <c r="A26" s="7"/>
      <c r="B26" s="2"/>
      <c r="C26" s="2"/>
      <c r="D26" s="17"/>
      <c r="E26" s="2"/>
      <c r="F26" s="2"/>
      <c r="G26" s="2"/>
      <c r="H26" s="2"/>
      <c r="I26" s="6"/>
    </row>
    <row r="27" spans="1:17" x14ac:dyDescent="0.2">
      <c r="A27" s="7"/>
      <c r="B27" s="15" t="s">
        <v>38</v>
      </c>
      <c r="C27" s="15"/>
      <c r="D27" s="42"/>
      <c r="E27" s="2"/>
      <c r="F27" s="41">
        <v>0.06</v>
      </c>
      <c r="G27" s="2"/>
      <c r="H27" s="2"/>
      <c r="I27" s="6"/>
    </row>
    <row r="28" spans="1:17" ht="13.5" thickBot="1" x14ac:dyDescent="0.25">
      <c r="A28" s="18"/>
      <c r="B28" s="19"/>
      <c r="C28" s="19"/>
      <c r="D28" s="19"/>
      <c r="E28" s="20"/>
      <c r="F28" s="19"/>
      <c r="G28" s="19"/>
      <c r="H28" s="19"/>
      <c r="I28" s="21"/>
    </row>
    <row r="32" spans="1:17" x14ac:dyDescent="0.2">
      <c r="L32" s="63"/>
    </row>
    <row r="33" spans="12:12" x14ac:dyDescent="0.2">
      <c r="L33" s="61"/>
    </row>
  </sheetData>
  <mergeCells count="3">
    <mergeCell ref="A1:I1"/>
    <mergeCell ref="A2:I2"/>
    <mergeCell ref="A12:I12"/>
  </mergeCells>
  <phoneticPr fontId="0" type="noConversion"/>
  <printOptions horizontalCentered="1" headings="1" gridLines="1"/>
  <pageMargins left="0.75" right="0.75" top="1" bottom="1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2"/>
  <sheetViews>
    <sheetView tabSelected="1" workbookViewId="0">
      <selection activeCell="E30" sqref="E30"/>
    </sheetView>
  </sheetViews>
  <sheetFormatPr defaultColWidth="9.140625" defaultRowHeight="12.75" x14ac:dyDescent="0.2"/>
  <cols>
    <col min="1" max="1" width="9.140625" style="2"/>
    <col min="2" max="2" width="8.5703125" style="2" customWidth="1"/>
    <col min="3" max="3" width="10.42578125" style="2" customWidth="1"/>
    <col min="4" max="4" width="4.28515625" style="2" customWidth="1"/>
    <col min="5" max="5" width="4.42578125" style="2" customWidth="1"/>
    <col min="6" max="6" width="4.28515625" style="2" customWidth="1"/>
    <col min="7" max="7" width="12.7109375" style="2" customWidth="1"/>
    <col min="8" max="8" width="11.28515625" style="2" bestFit="1" customWidth="1"/>
    <col min="9" max="9" width="9.7109375" style="2" customWidth="1"/>
    <col min="10" max="10" width="10.7109375" style="2" customWidth="1"/>
    <col min="11" max="11" width="9.140625" style="2"/>
    <col min="12" max="12" width="11.28515625" style="2" bestFit="1" customWidth="1"/>
    <col min="13" max="13" width="16.85546875" style="2" bestFit="1" customWidth="1"/>
    <col min="14" max="14" width="22.85546875" style="2" customWidth="1"/>
    <col min="15" max="15" width="9.140625" style="2"/>
    <col min="16" max="16" width="37.85546875" style="2" customWidth="1"/>
    <col min="17" max="17" width="12.28515625" style="2" bestFit="1" customWidth="1"/>
    <col min="18" max="18" width="11.28515625" style="2" bestFit="1" customWidth="1"/>
    <col min="19" max="20" width="9.140625" style="2"/>
    <col min="21" max="21" width="14" style="2" bestFit="1" customWidth="1"/>
    <col min="22" max="16384" width="9.140625" style="2"/>
  </cols>
  <sheetData>
    <row r="1" spans="1:17" ht="15.75" customHeight="1" x14ac:dyDescent="0.25">
      <c r="A1" s="74" t="s">
        <v>33</v>
      </c>
      <c r="B1" s="75"/>
      <c r="C1" s="75"/>
      <c r="D1" s="75"/>
      <c r="E1" s="75"/>
      <c r="F1" s="75"/>
      <c r="G1" s="75"/>
      <c r="H1" s="75"/>
      <c r="I1" s="75"/>
      <c r="J1" s="30"/>
    </row>
    <row r="2" spans="1:17" ht="13.5" thickBot="1" x14ac:dyDescent="0.25">
      <c r="A2" s="31"/>
      <c r="J2" s="32"/>
    </row>
    <row r="3" spans="1:17" ht="13.5" thickBot="1" x14ac:dyDescent="0.25">
      <c r="A3" s="76" t="s">
        <v>15</v>
      </c>
      <c r="B3" s="77"/>
      <c r="C3" s="77"/>
      <c r="D3" s="77"/>
      <c r="E3" s="77"/>
      <c r="F3" s="77"/>
      <c r="G3" s="44">
        <f>'Data Entry'!C22</f>
        <v>40800</v>
      </c>
      <c r="J3" s="32"/>
    </row>
    <row r="4" spans="1:17" x14ac:dyDescent="0.2">
      <c r="A4" s="31"/>
      <c r="B4" s="15"/>
      <c r="J4" s="32"/>
    </row>
    <row r="5" spans="1:17" x14ac:dyDescent="0.2">
      <c r="A5" s="31"/>
      <c r="J5" s="32"/>
      <c r="M5" s="64"/>
    </row>
    <row r="6" spans="1:17" x14ac:dyDescent="0.2">
      <c r="A6" s="33" t="s">
        <v>16</v>
      </c>
      <c r="G6" s="22"/>
      <c r="I6" s="27" t="s">
        <v>24</v>
      </c>
      <c r="J6" s="32"/>
      <c r="L6" s="3"/>
    </row>
    <row r="7" spans="1:17" ht="13.5" thickBot="1" x14ac:dyDescent="0.25">
      <c r="A7" s="34" t="s">
        <v>17</v>
      </c>
      <c r="G7" s="23"/>
      <c r="I7" s="28" t="s">
        <v>17</v>
      </c>
      <c r="J7" s="32"/>
      <c r="N7" s="57"/>
    </row>
    <row r="8" spans="1:17" ht="13.5" thickBot="1" x14ac:dyDescent="0.25">
      <c r="A8" s="35" t="s">
        <v>18</v>
      </c>
      <c r="C8" s="46">
        <f>DAYS360('Data Entry'!G5,'Data Entry'!G7,FALSE)/360</f>
        <v>59.741666666666667</v>
      </c>
      <c r="G8" s="24">
        <v>65</v>
      </c>
      <c r="I8" s="29" t="s">
        <v>18</v>
      </c>
      <c r="J8" s="32"/>
      <c r="P8" s="5"/>
    </row>
    <row r="9" spans="1:17" x14ac:dyDescent="0.2">
      <c r="A9" s="35" t="s">
        <v>19</v>
      </c>
      <c r="C9" s="47">
        <f>DAYS360('Data Entry'!G9,'Data Entry'!G7,FALSE)/360</f>
        <v>50.172222222222224</v>
      </c>
      <c r="G9" s="49">
        <f>(DAYS360('Data Entry'!G9,DATE(YEAR('Data Entry'!G5)+65,MONTH('Data Entry'!G5),DAY('Data Entry'!G5)),FALSE))/360</f>
        <v>55.430555555555557</v>
      </c>
      <c r="I9" s="29" t="s">
        <v>19</v>
      </c>
      <c r="J9" s="32"/>
      <c r="M9" s="64"/>
      <c r="P9" s="40"/>
    </row>
    <row r="10" spans="1:17" x14ac:dyDescent="0.2">
      <c r="A10" s="34" t="s">
        <v>20</v>
      </c>
      <c r="C10" s="47">
        <f>DAYS360('Data Entry'!G6,'Data Entry'!G7,FALSE)/360</f>
        <v>27.580555555555556</v>
      </c>
      <c r="G10" s="50">
        <f>MIN((DAYS360('Data Entry'!G6,DATE(YEAR('Data Entry'!G5)+65,MONTH('Data Entry'!G5),DAY('Data Entry'!G5)),FALSE))/360,30)</f>
        <v>30</v>
      </c>
      <c r="I10" s="28" t="s">
        <v>20</v>
      </c>
      <c r="J10" s="52" t="s">
        <v>39</v>
      </c>
      <c r="P10" s="5"/>
      <c r="Q10" s="59"/>
    </row>
    <row r="11" spans="1:17" ht="13.5" thickBot="1" x14ac:dyDescent="0.25">
      <c r="A11" s="34" t="s">
        <v>21</v>
      </c>
      <c r="C11" s="48">
        <f>12*(65-C8)</f>
        <v>63.099999999999994</v>
      </c>
      <c r="G11" s="51">
        <f>12*(65-G8)</f>
        <v>0</v>
      </c>
      <c r="I11" s="28" t="s">
        <v>21</v>
      </c>
      <c r="J11" s="32"/>
      <c r="K11" s="40"/>
      <c r="Q11" s="65"/>
    </row>
    <row r="12" spans="1:17" x14ac:dyDescent="0.2">
      <c r="A12" s="31"/>
      <c r="G12" s="25"/>
      <c r="I12" s="25"/>
      <c r="J12" s="32"/>
      <c r="P12" s="62"/>
      <c r="Q12" s="65"/>
    </row>
    <row r="13" spans="1:17" x14ac:dyDescent="0.2">
      <c r="A13" s="31"/>
      <c r="G13" s="23"/>
      <c r="I13" s="23"/>
      <c r="J13" s="32"/>
      <c r="N13" s="64"/>
      <c r="Q13" s="65"/>
    </row>
    <row r="14" spans="1:17" ht="13.5" thickBot="1" x14ac:dyDescent="0.25">
      <c r="A14" s="31"/>
      <c r="J14" s="32"/>
      <c r="L14" s="64"/>
    </row>
    <row r="15" spans="1:17" ht="13.5" thickBot="1" x14ac:dyDescent="0.25">
      <c r="A15" s="34" t="s">
        <v>22</v>
      </c>
      <c r="C15" s="44">
        <f>(0.8*(IF('Data Entry'!C6="Hourly",29000,G3)*MIN(30,C10)/30)/12)*IF(1-(0.005*C11)&gt;0.4,1-(0.005*C11),0.4)</f>
        <v>1711.686051851852</v>
      </c>
      <c r="G15" s="44">
        <f>(0.8*IF('Data Entry'!C6="Salaried",G3*((1+'Data Entry'!D24)^(DAYS360('Data Entry'!G7,DATE(YEAR('Data Entry'!G5)+65,MONTH('Data Entry'!G5),DAY('Data Entry'!G5)),FALSE)/360)),29000))*(MIN(30,G10)/30)/12</f>
        <v>3844.9174319189751</v>
      </c>
      <c r="I15" s="28" t="s">
        <v>22</v>
      </c>
      <c r="J15" s="32"/>
    </row>
    <row r="16" spans="1:17" ht="13.5" thickBot="1" x14ac:dyDescent="0.25">
      <c r="A16" s="31"/>
      <c r="F16" s="23"/>
      <c r="G16" s="23"/>
      <c r="H16" s="23"/>
      <c r="I16" s="23"/>
      <c r="J16" s="32"/>
    </row>
    <row r="17" spans="1:21" ht="13.5" thickBot="1" x14ac:dyDescent="0.25">
      <c r="A17" s="34" t="s">
        <v>23</v>
      </c>
      <c r="C17" s="53">
        <f>PV('Data Entry'!F27/12,IF('Data Entry'!C7="F",DAYS360('Data Entry'!G7,DATE(YEAR('Data Entry'!G5)+81,MONTH('Data Entry'!G5),DAY('Data Entry'!G5)),FALSE)/360*12,DAYS360('Data Entry'!G7,DATE(YEAR('Data Entry'!G5)+76,MONTH('Data Entry'!G5),DAY('Data Entry'!G5)),FALSE)/360*12),-C15)</f>
        <v>246421.05703646815</v>
      </c>
      <c r="F17" s="23"/>
      <c r="G17" s="56">
        <f>PV('Data Entry'!F27/12,(DAYS360('Data Entry'!G7,DATE(YEAR('Data Entry'!G5)+65,MONTH('Data Entry'!G5),DAY('Data Entry'!G5)),FALSE)/360)*12,0,PV('Data Entry'!F27/12,IF('Data Entry'!C7="F",81-G8,76-G8)*12,G15))</f>
        <v>345902.14240706392</v>
      </c>
      <c r="I17" s="28" t="s">
        <v>23</v>
      </c>
      <c r="J17" s="32"/>
    </row>
    <row r="18" spans="1:21" x14ac:dyDescent="0.2">
      <c r="A18" s="39"/>
      <c r="B18" s="40" t="s">
        <v>36</v>
      </c>
      <c r="C18" s="54">
        <f>'Data Entry'!C22*1.5</f>
        <v>61200</v>
      </c>
      <c r="I18" s="22"/>
      <c r="J18" s="32"/>
      <c r="N18" s="66"/>
      <c r="Q18" s="64"/>
    </row>
    <row r="19" spans="1:21" ht="13.5" thickBot="1" x14ac:dyDescent="0.25">
      <c r="A19" s="31"/>
      <c r="B19" s="40" t="s">
        <v>37</v>
      </c>
      <c r="C19" s="55">
        <f>SUM(C17:C18)</f>
        <v>307621.05703646818</v>
      </c>
      <c r="I19" s="22"/>
      <c r="J19" s="32"/>
      <c r="M19" s="64"/>
      <c r="R19" s="59"/>
    </row>
    <row r="20" spans="1:21" x14ac:dyDescent="0.2">
      <c r="A20" s="31"/>
      <c r="J20" s="32"/>
      <c r="M20" s="40"/>
      <c r="O20" s="59"/>
    </row>
    <row r="21" spans="1:21" x14ac:dyDescent="0.2">
      <c r="A21" s="34"/>
      <c r="C21" s="26"/>
      <c r="J21" s="32"/>
      <c r="M21" s="67"/>
      <c r="O21" s="40"/>
    </row>
    <row r="22" spans="1:21" x14ac:dyDescent="0.2">
      <c r="A22" s="39" t="s">
        <v>35</v>
      </c>
      <c r="J22" s="32"/>
      <c r="U22" s="58"/>
    </row>
    <row r="23" spans="1:21" x14ac:dyDescent="0.2">
      <c r="A23" s="36"/>
      <c r="B23" s="37"/>
      <c r="C23" s="37"/>
      <c r="D23" s="37"/>
      <c r="E23" s="37"/>
      <c r="F23" s="37"/>
      <c r="G23" s="37"/>
      <c r="H23" s="37"/>
      <c r="I23" s="37"/>
      <c r="J23" s="38"/>
      <c r="P23" s="62"/>
      <c r="U23" s="58"/>
    </row>
    <row r="24" spans="1:21" x14ac:dyDescent="0.2">
      <c r="M24" s="57"/>
      <c r="N24" s="5"/>
      <c r="O24" s="40"/>
    </row>
    <row r="25" spans="1:21" x14ac:dyDescent="0.2">
      <c r="A25" s="25"/>
      <c r="B25" s="25"/>
    </row>
    <row r="26" spans="1:21" x14ac:dyDescent="0.2">
      <c r="B26" s="25"/>
      <c r="M26" s="58"/>
      <c r="N26" s="59"/>
    </row>
    <row r="27" spans="1:21" x14ac:dyDescent="0.2">
      <c r="C27" s="58"/>
    </row>
    <row r="28" spans="1:21" x14ac:dyDescent="0.2">
      <c r="H28" s="40"/>
      <c r="M28" s="58"/>
      <c r="N28" s="59"/>
    </row>
    <row r="29" spans="1:21" x14ac:dyDescent="0.2">
      <c r="C29" s="58"/>
      <c r="H29" s="40"/>
      <c r="M29" s="58"/>
      <c r="R29" s="58"/>
    </row>
    <row r="30" spans="1:21" x14ac:dyDescent="0.2">
      <c r="M30" s="58"/>
    </row>
    <row r="31" spans="1:21" x14ac:dyDescent="0.2">
      <c r="H31" s="40"/>
      <c r="M31" s="58"/>
    </row>
    <row r="33" spans="2:18" x14ac:dyDescent="0.2">
      <c r="C33" s="64"/>
      <c r="D33" s="59"/>
    </row>
    <row r="34" spans="2:18" x14ac:dyDescent="0.2">
      <c r="C34" s="59"/>
      <c r="R34" s="58"/>
    </row>
    <row r="35" spans="2:18" x14ac:dyDescent="0.2">
      <c r="C35" s="40"/>
      <c r="H35" s="59"/>
    </row>
    <row r="36" spans="2:18" x14ac:dyDescent="0.2">
      <c r="C36" s="40"/>
      <c r="H36" s="58"/>
    </row>
    <row r="37" spans="2:18" x14ac:dyDescent="0.2">
      <c r="C37" s="40"/>
      <c r="H37" s="58"/>
      <c r="L37" s="58"/>
    </row>
    <row r="38" spans="2:18" x14ac:dyDescent="0.2">
      <c r="B38" s="40"/>
      <c r="C38" s="64"/>
      <c r="D38" s="40"/>
      <c r="L38" s="58"/>
    </row>
    <row r="39" spans="2:18" x14ac:dyDescent="0.2">
      <c r="C39" s="40"/>
      <c r="L39" s="58"/>
    </row>
    <row r="40" spans="2:18" x14ac:dyDescent="0.2">
      <c r="L40" s="58"/>
    </row>
    <row r="41" spans="2:18" x14ac:dyDescent="0.2">
      <c r="C41" s="57"/>
      <c r="D41" s="59"/>
      <c r="L41" s="58"/>
    </row>
    <row r="42" spans="2:18" x14ac:dyDescent="0.2">
      <c r="C42" s="64"/>
    </row>
  </sheetData>
  <mergeCells count="2">
    <mergeCell ref="A1:I1"/>
    <mergeCell ref="A3:F3"/>
  </mergeCells>
  <phoneticPr fontId="0" type="noConversion"/>
  <printOptions horizontalCentered="1"/>
  <pageMargins left="0.75" right="0.75" top="1" bottom="1" header="0.5" footer="0.5"/>
  <pageSetup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Entry</vt:lpstr>
      <vt:lpstr>Benefits 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 Rakes</dc:creator>
  <cp:lastModifiedBy>Noah Zaranka</cp:lastModifiedBy>
  <cp:lastPrinted>2014-05-15T11:39:18Z</cp:lastPrinted>
  <dcterms:created xsi:type="dcterms:W3CDTF">1998-05-28T21:51:02Z</dcterms:created>
  <dcterms:modified xsi:type="dcterms:W3CDTF">2017-05-28T21:20:45Z</dcterms:modified>
</cp:coreProperties>
</file>